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vier Woodruff\Desktop\CAREER\EXCEL\Projects\"/>
    </mc:Choice>
  </mc:AlternateContent>
  <xr:revisionPtr revIDLastSave="0" documentId="13_ncr:1_{5E658FCF-2B73-4858-A9B0-439E81068FAE}" xr6:coauthVersionLast="47" xr6:coauthVersionMax="47" xr10:uidLastSave="{00000000-0000-0000-0000-000000000000}"/>
  <bookViews>
    <workbookView xWindow="-120" yWindow="-120" windowWidth="38640" windowHeight="21120" xr2:uid="{9D090ABE-52EA-4ADA-90C9-9C6A1788C0F4}"/>
  </bookViews>
  <sheets>
    <sheet name="Application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1" l="1"/>
  <c r="I13" i="1"/>
  <c r="I3" i="1"/>
  <c r="I4" i="1"/>
  <c r="I5" i="1"/>
  <c r="I6" i="1"/>
  <c r="I7" i="1"/>
  <c r="I8" i="1"/>
  <c r="I10" i="1"/>
  <c r="I11" i="1"/>
  <c r="I12" i="1"/>
  <c r="I14" i="1"/>
  <c r="I2" i="1"/>
  <c r="K9" i="1"/>
  <c r="K10" i="1"/>
  <c r="K11" i="1"/>
  <c r="K12" i="1"/>
  <c r="K13" i="1"/>
  <c r="K8" i="1"/>
  <c r="K7" i="1"/>
  <c r="K6" i="1"/>
  <c r="K3" i="1"/>
  <c r="K4" i="1"/>
  <c r="K5" i="1"/>
  <c r="K2" i="1"/>
</calcChain>
</file>

<file path=xl/sharedStrings.xml><?xml version="1.0" encoding="utf-8"?>
<sst xmlns="http://schemas.openxmlformats.org/spreadsheetml/2006/main" count="91" uniqueCount="53">
  <si>
    <t>Date Applied</t>
  </si>
  <si>
    <t>Company</t>
  </si>
  <si>
    <t>Position</t>
  </si>
  <si>
    <t>Code</t>
  </si>
  <si>
    <t>Interview</t>
  </si>
  <si>
    <t>Status</t>
  </si>
  <si>
    <t>Interview Date</t>
  </si>
  <si>
    <t>Waiting</t>
  </si>
  <si>
    <t>Declined</t>
  </si>
  <si>
    <t>Boeing</t>
  </si>
  <si>
    <t>Supply Chain Analyst</t>
  </si>
  <si>
    <t>Location</t>
  </si>
  <si>
    <t>Platform</t>
  </si>
  <si>
    <t xml:space="preserve">UL Solutions </t>
  </si>
  <si>
    <t>Seattle, WA</t>
  </si>
  <si>
    <t>Type</t>
  </si>
  <si>
    <t>Hybrid</t>
  </si>
  <si>
    <t>Linkedin</t>
  </si>
  <si>
    <t>Remote</t>
  </si>
  <si>
    <t>On-site</t>
  </si>
  <si>
    <t>Salary</t>
  </si>
  <si>
    <t xml:space="preserve">Brooks Running </t>
  </si>
  <si>
    <t>Operations Systems Analyst</t>
  </si>
  <si>
    <t>Greater Seattle Area</t>
  </si>
  <si>
    <t>Auburn, WA</t>
  </si>
  <si>
    <t>Supply Chain Management Analyst</t>
  </si>
  <si>
    <t>Renton, WA</t>
  </si>
  <si>
    <t>Net2Source (N2S)</t>
  </si>
  <si>
    <t>Warehouse Management Operations Analyst</t>
  </si>
  <si>
    <t>F5</t>
  </si>
  <si>
    <t>Data Quality Analyst II</t>
  </si>
  <si>
    <t>Talentoma</t>
  </si>
  <si>
    <t>New, York</t>
  </si>
  <si>
    <t>Remote Operations Support Analyst</t>
  </si>
  <si>
    <t>Salted</t>
  </si>
  <si>
    <t>Los Angles, CA</t>
  </si>
  <si>
    <t>Business Analyst</t>
  </si>
  <si>
    <t>Indeed</t>
  </si>
  <si>
    <t>Hart Health</t>
  </si>
  <si>
    <t>Inventory Analyst</t>
  </si>
  <si>
    <t>Tukwila, WA</t>
  </si>
  <si>
    <t>Nintendo</t>
  </si>
  <si>
    <t>In-Progress</t>
  </si>
  <si>
    <t>Redmond, WA</t>
  </si>
  <si>
    <t>AST</t>
  </si>
  <si>
    <t>Tacoma, WA</t>
  </si>
  <si>
    <t xml:space="preserve">Business Systems Analyst </t>
  </si>
  <si>
    <t>Manufacturing Analyst</t>
  </si>
  <si>
    <t>Supply Chain Management Analyst (SCMA)</t>
  </si>
  <si>
    <t>Business Intelligence Analyst</t>
  </si>
  <si>
    <t>Days Pending</t>
  </si>
  <si>
    <t>Accepted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</si>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</sst>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&quot;Days&quot;"/>
    <numFmt numFmtId="165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numFmt numFmtId="164" formatCode="###\ &quot;Days&quot;"/>
    </dxf>
    <dxf>
      <numFmt numFmtId="165" formatCode="&quot;$&quot;#,##0"/>
    </dxf>
  </dxfs>
  <tableStyles count="0" defaultTableStyle="TableStyleMedium2" defaultPivotStyle="PivotStyleLight16"/>
  <colors>
    <mruColors>
      <color rgb="FF238D3C"/>
      <color rgb="FFFFFF00"/>
      <color rgb="FFFF0101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3E587-E906-4B8C-8475-61693CFC3737}" name="Table1" displayName="Table1" ref="A1:L14" totalsRowShown="0">
  <autoFilter ref="A1:L14" xr:uid="{2023E587-E906-4B8C-8475-61693CFC3737}"/>
  <tableColumns count="12">
    <tableColumn id="1" xr3:uid="{460F709B-5EC5-4417-B5BC-956C914CED9F}" name="Date Applied"/>
    <tableColumn id="2" xr3:uid="{3F5FF3B2-D2E7-4AD9-97D0-8F43C92A006D}" name="Company"/>
    <tableColumn id="10" xr3:uid="{6FC9A367-1C11-4181-B3A7-1941E115B9CF}" name="Location"/>
    <tableColumn id="3" xr3:uid="{26417396-0CF4-4105-A53B-92E60D1D32BC}" name="Position"/>
    <tableColumn id="4" xr3:uid="{59A45B90-A541-4D09-9E95-83F7CA64F842}" name="Code"/>
    <tableColumn id="12" xr3:uid="{17DC199A-4B87-41CA-82C1-E580612BD748}" name="Type"/>
    <tableColumn id="14" xr3:uid="{21DAB080-4018-4BB9-8B36-1DB5B1F93640}" name="Salary" dataDxfId="21"/>
    <tableColumn id="11" xr3:uid="{CC5A7DF5-BDEA-49D2-B73A-DD12C58B68AC}" name="Platform"/>
    <tableColumn id="5" xr3:uid="{DE7E47F9-7FB3-4812-BD25-3DEDE49C82FD}" name="Interview">
      <calculatedColumnFormula>IF(Table1[[#This Row],[Status]] = "Declined","No",IF(Table1[[#This Row],[Status]]= "In-Progress", "Yes", "N/A"))</calculatedColumnFormula>
    </tableColumn>
    <tableColumn id="6" xr3:uid="{41FEBB63-52B3-47F4-B71F-8D6AD904568F}" name="Interview Date"/>
    <tableColumn id="8" xr3:uid="{9645D385-A644-4F02-8BCB-538DCE5FE75A}" name="Days Pending" dataDxfId="20">
      <calculatedColumnFormula>SUM(TODAY()-Table1[[#This Row],[Date Applied]])</calculatedColumnFormula>
    </tableColumn>
    <tableColumn id="7" xr3:uid="{931FEE81-7B64-4EF4-A467-95835F90B2AF}" name="Statu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5A64-4A10-4AB8-82B5-7A42A87BD87E}">
  <dimension ref="A1:L14"/>
  <sheetViews>
    <sheetView tabSelected="1" workbookViewId="0">
      <pane ySplit="1" topLeftCell="A2" activePane="bottomLeft" state="frozen"/>
      <selection pane="bottomLeft" activeCell="I18" sqref="I18"/>
    </sheetView>
  </sheetViews>
  <sheetFormatPr defaultRowHeight="15" x14ac:dyDescent="0.25"/>
  <cols>
    <col min="1" max="1" width="15.42578125" customWidth="1"/>
    <col min="2" max="2" width="23.7109375" customWidth="1"/>
    <col min="3" max="3" width="18.5703125" customWidth="1"/>
    <col min="4" max="4" width="48.42578125" customWidth="1"/>
    <col min="5" max="5" width="10.42578125" customWidth="1"/>
    <col min="6" max="6" width="14.85546875" customWidth="1"/>
    <col min="7" max="7" width="14.85546875" style="3" customWidth="1"/>
    <col min="8" max="8" width="13.7109375" customWidth="1"/>
    <col min="9" max="9" width="14.85546875" customWidth="1"/>
    <col min="10" max="10" width="19.28515625" customWidth="1"/>
    <col min="11" max="11" width="18.7109375" style="2" customWidth="1"/>
    <col min="12" max="12" width="12.42578125" customWidth="1"/>
  </cols>
  <sheetData>
    <row r="1" spans="1:12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15</v>
      </c>
      <c r="G1" s="3" t="s">
        <v>20</v>
      </c>
      <c r="H1" t="s">
        <v>12</v>
      </c>
      <c r="I1" t="s">
        <v>4</v>
      </c>
      <c r="J1" t="s">
        <v>6</v>
      </c>
      <c r="K1" s="2" t="s">
        <v>50</v>
      </c>
      <c r="L1" t="s">
        <v>5</v>
      </c>
    </row>
    <row r="2" spans="1:12" x14ac:dyDescent="0.25">
      <c r="A2" s="1">
        <v>46199</v>
      </c>
      <c r="B2" t="s">
        <v>13</v>
      </c>
      <c r="C2" t="s">
        <v>14</v>
      </c>
      <c r="D2" t="s">
        <v>46</v>
      </c>
      <c r="E2">
        <v>0</v>
      </c>
      <c r="F2" t="s">
        <v>16</v>
      </c>
      <c r="G2" s="3">
        <v>92500</v>
      </c>
      <c r="H2" t="s">
        <v>17</v>
      </c>
      <c r="I2" t="str">
        <f>IF(Table1[[#This Row],[Status]] = "Declined","No",IF(Table1[[#This Row],[Status]]= "In-Progress", "Yes", "N/A"))</f>
        <v>N/A</v>
      </c>
      <c r="J2" s="1"/>
      <c r="K2" s="2">
        <f ca="1">SUM(TODAY()-Table1[[#This Row],[Date Applied]])</f>
        <v>10</v>
      </c>
      <c r="L2" t="s">
        <v>7</v>
      </c>
    </row>
    <row r="3" spans="1:12" x14ac:dyDescent="0.25">
      <c r="A3" s="1">
        <v>46199</v>
      </c>
      <c r="B3" t="s">
        <v>21</v>
      </c>
      <c r="C3" t="s">
        <v>14</v>
      </c>
      <c r="D3" t="s">
        <v>22</v>
      </c>
      <c r="E3">
        <v>0</v>
      </c>
      <c r="F3" t="s">
        <v>18</v>
      </c>
      <c r="G3" s="3">
        <v>105000</v>
      </c>
      <c r="H3" t="s">
        <v>17</v>
      </c>
      <c r="I3" t="str">
        <f>IF(Table1[[#This Row],[Status]] = "Declined","No",IF(Table1[[#This Row],[Status]]= "In-Progress", "Yes", "N/A"))</f>
        <v>No</v>
      </c>
      <c r="J3" s="1"/>
      <c r="K3" s="2">
        <f ca="1">SUM(TODAY()-Table1[[#This Row],[Date Applied]])</f>
        <v>10</v>
      </c>
      <c r="L3" t="s">
        <v>8</v>
      </c>
    </row>
    <row r="4" spans="1:12" x14ac:dyDescent="0.25">
      <c r="A4" s="1">
        <v>46199</v>
      </c>
      <c r="B4" t="s">
        <v>9</v>
      </c>
      <c r="C4" t="s">
        <v>24</v>
      </c>
      <c r="D4" t="s">
        <v>10</v>
      </c>
      <c r="E4">
        <v>0</v>
      </c>
      <c r="F4" t="s">
        <v>16</v>
      </c>
      <c r="G4" s="3">
        <v>96000</v>
      </c>
      <c r="H4" t="s">
        <v>17</v>
      </c>
      <c r="I4" t="str">
        <f>IF(Table1[[#This Row],[Status]] = "Declined","No",IF(Table1[[#This Row],[Status]]= "In-Progress", "Yes", "N/A"))</f>
        <v>No</v>
      </c>
      <c r="J4" s="1"/>
      <c r="K4" s="2">
        <f ca="1">SUM(TODAY()-Table1[[#This Row],[Date Applied]])</f>
        <v>10</v>
      </c>
      <c r="L4" t="s">
        <v>8</v>
      </c>
    </row>
    <row r="5" spans="1:12" x14ac:dyDescent="0.25">
      <c r="A5" s="1">
        <v>46199</v>
      </c>
      <c r="B5" t="s">
        <v>9</v>
      </c>
      <c r="C5" t="s">
        <v>26</v>
      </c>
      <c r="D5" t="s">
        <v>47</v>
      </c>
      <c r="E5">
        <v>0</v>
      </c>
      <c r="F5" t="s">
        <v>19</v>
      </c>
      <c r="G5" s="3">
        <v>85000</v>
      </c>
      <c r="H5" t="s">
        <v>17</v>
      </c>
      <c r="I5" t="str">
        <f>IF(Table1[[#This Row],[Status]] = "Declined","No",IF(Table1[[#This Row],[Status]]= "In-Progress", "Yes", "N/A"))</f>
        <v>Yes</v>
      </c>
      <c r="J5" s="1">
        <v>46232</v>
      </c>
      <c r="K5" s="2">
        <f ca="1">SUM(TODAY()-Table1[[#This Row],[Date Applied]])</f>
        <v>10</v>
      </c>
      <c r="L5" t="s">
        <v>42</v>
      </c>
    </row>
    <row r="6" spans="1:12" x14ac:dyDescent="0.25">
      <c r="A6" s="1">
        <v>46199</v>
      </c>
      <c r="B6" t="s">
        <v>9</v>
      </c>
      <c r="C6" t="s">
        <v>26</v>
      </c>
      <c r="D6" t="s">
        <v>25</v>
      </c>
      <c r="E6">
        <v>0</v>
      </c>
      <c r="F6" t="s">
        <v>19</v>
      </c>
      <c r="G6" s="3">
        <v>82000</v>
      </c>
      <c r="H6" t="s">
        <v>17</v>
      </c>
      <c r="I6" t="str">
        <f>IF(Table1[[#This Row],[Status]] = "Declined","No",IF(Table1[[#This Row],[Status]]= "In-Progress", "Yes", "N/A"))</f>
        <v>N/A</v>
      </c>
      <c r="K6" s="2">
        <f ca="1">SUM(TODAY()-Table1[[#This Row],[Date Applied]])</f>
        <v>10</v>
      </c>
      <c r="L6" t="s">
        <v>7</v>
      </c>
    </row>
    <row r="7" spans="1:12" x14ac:dyDescent="0.25">
      <c r="A7" s="1">
        <v>46199</v>
      </c>
      <c r="B7" t="s">
        <v>27</v>
      </c>
      <c r="C7" t="s">
        <v>26</v>
      </c>
      <c r="D7" t="s">
        <v>28</v>
      </c>
      <c r="E7">
        <v>0</v>
      </c>
      <c r="F7" t="s">
        <v>19</v>
      </c>
      <c r="G7" s="3">
        <v>104000</v>
      </c>
      <c r="H7" t="s">
        <v>17</v>
      </c>
      <c r="I7" t="str">
        <f>IF(Table1[[#This Row],[Status]] = "Declined","No",IF(Table1[[#This Row],[Status]]= "In-Progress", "Yes", "N/A"))</f>
        <v>Yes</v>
      </c>
      <c r="J7" s="1">
        <v>46226</v>
      </c>
      <c r="K7" s="2">
        <f ca="1">SUM(TODAY()-Table1[[#This Row],[Date Applied]])</f>
        <v>10</v>
      </c>
      <c r="L7" t="s">
        <v>42</v>
      </c>
    </row>
    <row r="8" spans="1:12" x14ac:dyDescent="0.25">
      <c r="A8" s="1">
        <v>46199</v>
      </c>
      <c r="B8" t="s">
        <v>29</v>
      </c>
      <c r="C8" t="s">
        <v>23</v>
      </c>
      <c r="D8" t="s">
        <v>30</v>
      </c>
      <c r="E8">
        <v>0</v>
      </c>
      <c r="F8" t="s">
        <v>16</v>
      </c>
      <c r="G8" s="3">
        <v>98000</v>
      </c>
      <c r="H8" t="s">
        <v>17</v>
      </c>
      <c r="I8" t="str">
        <f>IF(Table1[[#This Row],[Status]] = "Declined","No",IF(Table1[[#This Row],[Status]]= "In-Progress", "Yes", "N/A"))</f>
        <v>N/A</v>
      </c>
      <c r="K8" s="2">
        <f ca="1">SUM(TODAY()-Table1[[#This Row],[Date Applied]])</f>
        <v>10</v>
      </c>
      <c r="L8" t="s">
        <v>7</v>
      </c>
    </row>
    <row r="9" spans="1:12" x14ac:dyDescent="0.25">
      <c r="A9" s="1">
        <v>46199</v>
      </c>
      <c r="B9" t="s">
        <v>31</v>
      </c>
      <c r="C9" t="s">
        <v>32</v>
      </c>
      <c r="D9" t="s">
        <v>33</v>
      </c>
      <c r="E9">
        <v>0</v>
      </c>
      <c r="F9" t="s">
        <v>18</v>
      </c>
      <c r="G9" s="3">
        <v>86000</v>
      </c>
      <c r="H9" t="s">
        <v>17</v>
      </c>
      <c r="I9" t="s">
        <v>52</v>
      </c>
      <c r="J9" s="1">
        <v>46223</v>
      </c>
      <c r="K9" s="2">
        <f ca="1">SUM(TODAY()-Table1[[#This Row],[Date Applied]])</f>
        <v>10</v>
      </c>
      <c r="L9" t="s">
        <v>51</v>
      </c>
    </row>
    <row r="10" spans="1:12" x14ac:dyDescent="0.25">
      <c r="A10" s="1">
        <v>46199</v>
      </c>
      <c r="B10" t="s">
        <v>34</v>
      </c>
      <c r="C10" t="s">
        <v>35</v>
      </c>
      <c r="D10" t="s">
        <v>36</v>
      </c>
      <c r="E10">
        <v>0</v>
      </c>
      <c r="F10" t="s">
        <v>18</v>
      </c>
      <c r="G10" s="3">
        <v>110000</v>
      </c>
      <c r="H10" t="s">
        <v>37</v>
      </c>
      <c r="I10" t="str">
        <f>IF(Table1[[#This Row],[Status]] = "Declined","No",IF(Table1[[#This Row],[Status]]= "In-Progress", "Yes", "N/A"))</f>
        <v>N/A</v>
      </c>
      <c r="K10" s="2">
        <f ca="1">SUM(TODAY()-Table1[[#This Row],[Date Applied]])</f>
        <v>10</v>
      </c>
      <c r="L10" t="s">
        <v>7</v>
      </c>
    </row>
    <row r="11" spans="1:12" x14ac:dyDescent="0.25">
      <c r="A11" s="1">
        <v>46138</v>
      </c>
      <c r="B11" t="s">
        <v>38</v>
      </c>
      <c r="C11" t="s">
        <v>40</v>
      </c>
      <c r="D11" t="s">
        <v>39</v>
      </c>
      <c r="E11">
        <v>0</v>
      </c>
      <c r="F11" t="s">
        <v>19</v>
      </c>
      <c r="G11" s="3">
        <v>94000</v>
      </c>
      <c r="H11" t="s">
        <v>37</v>
      </c>
      <c r="I11" t="str">
        <f>IF(Table1[[#This Row],[Status]] = "Declined","No",IF(Table1[[#This Row],[Status]]= "In-Progress", "Yes", "N/A"))</f>
        <v>N/A</v>
      </c>
      <c r="K11" s="2">
        <f ca="1">SUM(TODAY()-Table1[[#This Row],[Date Applied]])</f>
        <v>71</v>
      </c>
      <c r="L11" t="s">
        <v>7</v>
      </c>
    </row>
    <row r="12" spans="1:12" x14ac:dyDescent="0.25">
      <c r="A12" s="1">
        <v>46199</v>
      </c>
      <c r="B12" t="s">
        <v>41</v>
      </c>
      <c r="C12" t="s">
        <v>43</v>
      </c>
      <c r="D12" t="s">
        <v>10</v>
      </c>
      <c r="E12">
        <v>0</v>
      </c>
      <c r="F12" t="s">
        <v>16</v>
      </c>
      <c r="G12" s="3">
        <v>95000</v>
      </c>
      <c r="H12" t="s">
        <v>17</v>
      </c>
      <c r="I12" t="str">
        <f>IF(Table1[[#This Row],[Status]] = "Declined","No",IF(Table1[[#This Row],[Status]]= "In-Progress", "Yes", "N/A"))</f>
        <v>N/A</v>
      </c>
      <c r="K12" s="2">
        <f ca="1">SUM(TODAY()-Table1[[#This Row],[Date Applied]])</f>
        <v>10</v>
      </c>
      <c r="L12" t="s">
        <v>7</v>
      </c>
    </row>
    <row r="13" spans="1:12" x14ac:dyDescent="0.25">
      <c r="A13" s="1">
        <v>46202</v>
      </c>
      <c r="B13" t="s">
        <v>44</v>
      </c>
      <c r="C13" t="s">
        <v>45</v>
      </c>
      <c r="D13" t="s">
        <v>49</v>
      </c>
      <c r="E13">
        <v>0</v>
      </c>
      <c r="F13" t="s">
        <v>19</v>
      </c>
      <c r="G13" s="3">
        <v>85000</v>
      </c>
      <c r="H13" t="s">
        <v>17</v>
      </c>
      <c r="I13" t="str">
        <f>IF(Table1[[#This Row],[Status]] = "Declined","No",IF(Table1[[#This Row],[Status]]= "In-Progress", "Yes", "N/A"))</f>
        <v>Yes</v>
      </c>
      <c r="J13" s="1">
        <v>46209</v>
      </c>
      <c r="K13" s="2">
        <f ca="1">SUM(TODAY()-Table1[[#This Row],[Date Applied]])</f>
        <v>7</v>
      </c>
      <c r="L13" t="s">
        <v>42</v>
      </c>
    </row>
    <row r="14" spans="1:12" x14ac:dyDescent="0.25">
      <c r="A14" s="1">
        <v>46208</v>
      </c>
      <c r="B14" t="s">
        <v>9</v>
      </c>
      <c r="C14" t="s">
        <v>40</v>
      </c>
      <c r="D14" t="s">
        <v>48</v>
      </c>
      <c r="E14">
        <v>0</v>
      </c>
      <c r="F14" t="s">
        <v>19</v>
      </c>
      <c r="G14" s="3">
        <v>75000</v>
      </c>
      <c r="H14" t="s">
        <v>17</v>
      </c>
      <c r="I14" t="str">
        <f>IF(Table1[[#This Row],[Status]] = "Declined","No",IF(Table1[[#This Row],[Status]]= "In-Progress", "Yes", "N/A"))</f>
        <v>N/A</v>
      </c>
      <c r="K14" s="2">
        <f ca="1">SUM(TODAY()-Table1[[#This Row],[Date Applied]])</f>
        <v>1</v>
      </c>
      <c r="L14" t="s">
        <v>7</v>
      </c>
    </row>
  </sheetData>
  <conditionalFormatting sqref="K1:K14">
    <cfRule type="colorScale" priority="3">
      <colorScale>
        <cfvo type="num" val="0"/>
        <cfvo type="num" val="30"/>
        <cfvo type="num" val="45"/>
        <color rgb="FF00B050"/>
        <color rgb="FFFFFF00"/>
        <color rgb="FFFF0101"/>
      </colorScale>
    </cfRule>
  </conditionalFormatting>
  <conditionalFormatting sqref="L1:L1048576">
    <cfRule type="cellIs" dxfId="7" priority="2" operator="equal">
      <formula>"In-Progress"</formula>
    </cfRule>
    <cfRule type="cellIs" dxfId="6" priority="5" operator="equal">
      <formula>"Declined"</formula>
    </cfRule>
    <cfRule type="cellIs" dxfId="5" priority="6" operator="equal">
      <formula>"Waiting"</formula>
    </cfRule>
    <cfRule type="cellIs" dxfId="4" priority="7" operator="equal">
      <formula>"Accepted"</formula>
    </cfRule>
  </conditionalFormatting>
  <conditionalFormatting sqref="G1:G1048576">
    <cfRule type="colorScale" priority="1">
      <colorScale>
        <cfvo type="formula" val="MAX($G:$G)*0.7"/>
        <cfvo type="formula" val="MAX($G:$G)*0.85"/>
        <cfvo type="formula" val="MAX($G:$G)"/>
        <color rgb="FFF8696B"/>
        <color rgb="FFFFEB84"/>
        <color rgb="FF63BE7B"/>
      </colorScale>
    </cfRule>
  </conditionalFormatting>
  <dataValidations count="4">
    <dataValidation type="list" allowBlank="1" showInputMessage="1" showErrorMessage="1" sqref="Q5 Q7:Q9 F1:F14" xr:uid="{9B8D19CC-4C52-4C7C-ADDB-062FB90C5332}">
      <formula1>"Remote, Hybrid, On-site"</formula1>
    </dataValidation>
    <dataValidation type="list" allowBlank="1" showInputMessage="1" showErrorMessage="1" sqref="I1:I14" xr:uid="{56DC3B93-0AD2-431B-82B7-4367C0544FED}">
      <formula1>"Yes, No, N/A"</formula1>
    </dataValidation>
    <dataValidation type="list" allowBlank="1" showInputMessage="1" showErrorMessage="1" sqref="L1:L14" xr:uid="{C582F29E-7FA0-493E-B9AA-A53F4C1C12F4}">
      <formula1>"Accepted, Waiting, Declined, In-Progress"</formula1>
    </dataValidation>
    <dataValidation type="list" allowBlank="1" showInputMessage="1" showErrorMessage="1" sqref="H1:H14" xr:uid="{CD291F5F-40CC-4866-9533-110DA2BF372C}">
      <formula1>"Linkedin, Indeed, Glassdoor"</formula1>
    </dataValidation>
  </dataValidations>
  <pageMargins left="0.7" right="0.7" top="0.75" bottom="0.75" header="0.3" footer="0.3"/>
  <ignoredErrors>
    <ignoredError sqref="I9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Venetta Pearson</dc:creator>
  <cp:lastModifiedBy>Venetta Pearson</cp:lastModifiedBy>
  <dcterms:created xsi:type="dcterms:W3CDTF">2026-06-23T06:51:19Z</dcterms:created>
  <dcterms:modified xsi:type="dcterms:W3CDTF">2026-07-06T08:48:54Z</dcterms:modified>
</cp:coreProperties>
</file>